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Лист1" sheetId="1" state="visible" r:id="rId3"/>
    <sheet name="Лист2" sheetId="2" state="visible" r:id="rId4"/>
    <sheet name="Лист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<sst xmlns="http://schemas.openxmlformats.org/spreadsheetml/2006/main" count="129" uniqueCount="90">
  <si>
    <t xml:space="preserve">id</t>
  </si>
  <si>
    <t xml:space="preserve">ФИО</t>
  </si>
  <si>
    <t xml:space="preserve">Фамилия</t>
  </si>
  <si>
    <t xml:space="preserve">Имя</t>
  </si>
  <si>
    <t xml:space="preserve">Отчество</t>
  </si>
  <si>
    <t xml:space="preserve">Факультет</t>
  </si>
  <si>
    <t xml:space="preserve">Степень</t>
  </si>
  <si>
    <t xml:space="preserve">Курс</t>
  </si>
  <si>
    <t xml:space="preserve">Группа</t>
  </si>
  <si>
    <t xml:space="preserve">Руководитель практики</t>
  </si>
  <si>
    <t xml:space="preserve">Направление подготовки</t>
  </si>
  <si>
    <t xml:space="preserve">Профиль</t>
  </si>
  <si>
    <t xml:space="preserve">Почта</t>
  </si>
  <si>
    <t xml:space="preserve">Петров Петр Петрович</t>
  </si>
  <si>
    <t xml:space="preserve">Петров</t>
  </si>
  <si>
    <t xml:space="preserve">Петр</t>
  </si>
  <si>
    <t xml:space="preserve">Петрович</t>
  </si>
  <si>
    <t xml:space="preserve">ФИТ</t>
  </si>
  <si>
    <t xml:space="preserve">Бакалавриат</t>
  </si>
  <si>
    <t xml:space="preserve">09.03.01 Информатика и вычислительная техника</t>
  </si>
  <si>
    <t xml:space="preserve">Программная инженерия и компьютерные науки</t>
  </si>
  <si>
    <t xml:space="preserve">p.petrov@fit.univ.edu</t>
  </si>
  <si>
    <t xml:space="preserve">Иванова Мария Сергеевна</t>
  </si>
  <si>
    <t xml:space="preserve">Иванова</t>
  </si>
  <si>
    <t xml:space="preserve">Мария</t>
  </si>
  <si>
    <t xml:space="preserve">Сергеевна</t>
  </si>
  <si>
    <t xml:space="preserve">Магистратура</t>
  </si>
  <si>
    <t xml:space="preserve">09.04.01 Информатика и вычислительная техника</t>
  </si>
  <si>
    <t xml:space="preserve">Искусственный интеллект и машинное обучение</t>
  </si>
  <si>
    <t xml:space="preserve">m.ivanova@fit.univ.edu</t>
  </si>
  <si>
    <t xml:space="preserve">Смирнов Алексей Дмитриевич</t>
  </si>
  <si>
    <t xml:space="preserve">Смирнов</t>
  </si>
  <si>
    <t xml:space="preserve">Алексей</t>
  </si>
  <si>
    <t xml:space="preserve">Дмитриевич</t>
  </si>
  <si>
    <t xml:space="preserve">Веб-технологии и распределенные системы</t>
  </si>
  <si>
    <t xml:space="preserve">a.smirnov@fit.univ.edu</t>
  </si>
  <si>
    <t xml:space="preserve">Васильева Ольга Андреевна</t>
  </si>
  <si>
    <t xml:space="preserve">Васильева</t>
  </si>
  <si>
    <t xml:space="preserve">Ольга</t>
  </si>
  <si>
    <t xml:space="preserve">Андреевна</t>
  </si>
  <si>
    <t xml:space="preserve">09.04.02 Информатика и вычислительная техника</t>
  </si>
  <si>
    <t xml:space="preserve">Кибербезопасность и защита информации</t>
  </si>
  <si>
    <t xml:space="preserve">o.vasileva@fit.univ.edu</t>
  </si>
  <si>
    <t xml:space="preserve">Федоров Никита Игоревич</t>
  </si>
  <si>
    <t xml:space="preserve">Федоров</t>
  </si>
  <si>
    <t xml:space="preserve">Никита</t>
  </si>
  <si>
    <t xml:space="preserve">Игоревич</t>
  </si>
  <si>
    <t xml:space="preserve">n.fedorov@fit.univ.edu</t>
  </si>
  <si>
    <t xml:space="preserve">Михайлова Екатерина Олеговна</t>
  </si>
  <si>
    <t xml:space="preserve">Михайлова</t>
  </si>
  <si>
    <t xml:space="preserve">Екатерина</t>
  </si>
  <si>
    <t xml:space="preserve">Олеговна</t>
  </si>
  <si>
    <t xml:space="preserve">Анализ данных и большие данные</t>
  </si>
  <si>
    <t xml:space="preserve">e.mihaylova@fit.univ.edu</t>
  </si>
  <si>
    <t xml:space="preserve">Соколов Денис Романович</t>
  </si>
  <si>
    <t xml:space="preserve">Соколов</t>
  </si>
  <si>
    <t xml:space="preserve">Денис</t>
  </si>
  <si>
    <t xml:space="preserve">Романович</t>
  </si>
  <si>
    <t xml:space="preserve">Мобильная разработка</t>
  </si>
  <si>
    <t xml:space="preserve">d.sokolov@fit.univ.edu</t>
  </si>
  <si>
    <t xml:space="preserve">Козлова Дарья Николаевна</t>
  </si>
  <si>
    <t xml:space="preserve">Козлова</t>
  </si>
  <si>
    <t xml:space="preserve">Дарья</t>
  </si>
  <si>
    <t xml:space="preserve">Николаевна</t>
  </si>
  <si>
    <t xml:space="preserve">d.kozlova@fit.univ.edu</t>
  </si>
  <si>
    <t xml:space="preserve">Павлов Артем Валерьевич</t>
  </si>
  <si>
    <t xml:space="preserve">Павлов</t>
  </si>
  <si>
    <t xml:space="preserve">Артем</t>
  </si>
  <si>
    <t xml:space="preserve">Валерьевич</t>
  </si>
  <si>
    <t xml:space="preserve">Сетевые технологии</t>
  </si>
  <si>
    <t xml:space="preserve">a.pavlov@fit.univ.edu</t>
  </si>
  <si>
    <t xml:space="preserve">Орлова Виктория Максимовна</t>
  </si>
  <si>
    <t xml:space="preserve">Орлова</t>
  </si>
  <si>
    <t xml:space="preserve">Виктория</t>
  </si>
  <si>
    <t xml:space="preserve">Максимовна</t>
  </si>
  <si>
    <t xml:space="preserve">v.orlova@fit.univ.edu</t>
  </si>
  <si>
    <t xml:space="preserve">Сидоров Сидор Сидорович</t>
  </si>
  <si>
    <t xml:space="preserve">Кузнецов Алексей Иванович</t>
  </si>
  <si>
    <t xml:space="preserve">Попова Елена Викторовна</t>
  </si>
  <si>
    <t xml:space="preserve">Новиков Дмитрий Сергеевич</t>
  </si>
  <si>
    <t xml:space="preserve">Морозова Анна Петровна</t>
  </si>
  <si>
    <t xml:space="preserve">Волков Артем Александрович</t>
  </si>
  <si>
    <t xml:space="preserve">Лебедев Максим Викторович</t>
  </si>
  <si>
    <t xml:space="preserve">Степанов Илья Дмитриевич</t>
  </si>
  <si>
    <t xml:space="preserve">Николаева Светлана Юрьевна</t>
  </si>
  <si>
    <t xml:space="preserve">Андреев Константин Олегович</t>
  </si>
  <si>
    <t xml:space="preserve">Имя документа</t>
  </si>
  <si>
    <t xml:space="preserve">Напрвление подготовки</t>
  </si>
  <si>
    <t xml:space="preserve">Семестр</t>
  </si>
  <si>
    <t xml:space="preserve">Прил 1_ИЗ на практику_Бакалавриат_ПИиКН_5 семестр.docx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</si>
</sst>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"/>
  </numFmts>
  <fonts count="6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rgb="FF000000"/>
      <name val="Arial"/>
      <family val="2"/>
      <charset val="1"/>
    </font>
    <font>
      <sz val="11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.58"/>
    <col collapsed="false" customWidth="true" hidden="false" outlineLevel="0" max="7" min="2" style="2" width="13.58"/>
    <col collapsed="false" customWidth="true" hidden="false" outlineLevel="0" max="8" min="8" style="1" width="13.58"/>
    <col collapsed="false" customWidth="true" hidden="false" outlineLevel="0" max="9" min="9" style="3" width="13.58"/>
    <col collapsed="false" customWidth="true" hidden="false" outlineLevel="0" max="10" min="10" style="4" width="30.43"/>
    <col collapsed="false" customWidth="true" hidden="false" outlineLevel="0" max="11" min="11" style="2" width="46.72"/>
    <col collapsed="false" customWidth="true" hidden="false" outlineLevel="0" max="12" min="12" style="2" width="41.87"/>
    <col collapsed="false" customWidth="true" hidden="false" outlineLevel="0" max="13" min="13" style="2" width="13.58"/>
  </cols>
  <sheetData>
    <row r="1" customFormat="false" ht="18.75" hidden="false" customHeight="true" outlineLevel="0" collapsed="false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5" t="s">
        <v>7</v>
      </c>
      <c r="I1" s="7" t="s">
        <v>8</v>
      </c>
      <c r="J1" s="5" t="s">
        <v>9</v>
      </c>
      <c r="K1" s="6" t="s">
        <v>10</v>
      </c>
      <c r="L1" s="6" t="s">
        <v>11</v>
      </c>
      <c r="M1" s="6" t="s">
        <v>12</v>
      </c>
    </row>
    <row r="2" customFormat="false" ht="18.75" hidden="false" customHeight="true" outlineLevel="0" collapsed="false">
      <c r="A2" s="8" t="n">
        <v>1</v>
      </c>
      <c r="B2" s="6" t="s">
        <v>13</v>
      </c>
      <c r="C2" s="6" t="s">
        <v>14</v>
      </c>
      <c r="D2" s="6" t="s">
        <v>15</v>
      </c>
      <c r="E2" s="6" t="s">
        <v>16</v>
      </c>
      <c r="F2" s="6" t="s">
        <v>17</v>
      </c>
      <c r="G2" s="6" t="s">
        <v>18</v>
      </c>
      <c r="H2" s="8" t="n">
        <v>1</v>
      </c>
      <c r="I2" s="9" t="n">
        <v>24931</v>
      </c>
      <c r="J2" s="5" t="n">
        <v>1</v>
      </c>
      <c r="K2" s="6" t="s">
        <v>19</v>
      </c>
      <c r="L2" s="6" t="s">
        <v>20</v>
      </c>
      <c r="M2" s="6" t="s">
        <v>21</v>
      </c>
    </row>
    <row r="3" customFormat="false" ht="18.75" hidden="false" customHeight="true" outlineLevel="0" collapsed="false">
      <c r="A3" s="8" t="n">
        <v>2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17</v>
      </c>
      <c r="G3" s="6" t="s">
        <v>26</v>
      </c>
      <c r="H3" s="8" t="n">
        <v>2</v>
      </c>
      <c r="I3" s="9" t="n">
        <v>23934</v>
      </c>
      <c r="J3" s="5" t="n">
        <v>1</v>
      </c>
      <c r="K3" s="6" t="s">
        <v>27</v>
      </c>
      <c r="L3" s="6" t="s">
        <v>28</v>
      </c>
      <c r="M3" s="6" t="s">
        <v>29</v>
      </c>
    </row>
    <row r="4" customFormat="false" ht="18.75" hidden="false" customHeight="true" outlineLevel="0" collapsed="false">
      <c r="A4" s="8" t="n">
        <v>3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17</v>
      </c>
      <c r="G4" s="6" t="s">
        <v>18</v>
      </c>
      <c r="H4" s="8" t="n">
        <v>3</v>
      </c>
      <c r="I4" s="9" t="n">
        <v>22932</v>
      </c>
      <c r="J4" s="5" t="n">
        <v>3</v>
      </c>
      <c r="K4" s="6" t="s">
        <v>19</v>
      </c>
      <c r="L4" s="6" t="s">
        <v>34</v>
      </c>
      <c r="M4" s="6" t="s">
        <v>35</v>
      </c>
    </row>
    <row r="5" customFormat="false" ht="18.75" hidden="false" customHeight="true" outlineLevel="0" collapsed="false">
      <c r="A5" s="8" t="n">
        <v>4</v>
      </c>
      <c r="B5" s="6" t="s">
        <v>36</v>
      </c>
      <c r="C5" s="6" t="s">
        <v>37</v>
      </c>
      <c r="D5" s="6" t="s">
        <v>38</v>
      </c>
      <c r="E5" s="6" t="s">
        <v>39</v>
      </c>
      <c r="F5" s="6" t="s">
        <v>17</v>
      </c>
      <c r="G5" s="6" t="s">
        <v>26</v>
      </c>
      <c r="H5" s="8" t="n">
        <v>1</v>
      </c>
      <c r="I5" s="9" t="n">
        <v>24935</v>
      </c>
      <c r="J5" s="5" t="n">
        <v>4</v>
      </c>
      <c r="K5" s="6" t="s">
        <v>40</v>
      </c>
      <c r="L5" s="6" t="s">
        <v>41</v>
      </c>
      <c r="M5" s="6" t="s">
        <v>42</v>
      </c>
    </row>
    <row r="6" customFormat="false" ht="18.75" hidden="false" customHeight="true" outlineLevel="0" collapsed="false">
      <c r="A6" s="8" t="n">
        <v>5</v>
      </c>
      <c r="B6" s="6" t="s">
        <v>43</v>
      </c>
      <c r="C6" s="6" t="s">
        <v>44</v>
      </c>
      <c r="D6" s="6" t="s">
        <v>45</v>
      </c>
      <c r="E6" s="6" t="s">
        <v>46</v>
      </c>
      <c r="F6" s="6" t="s">
        <v>17</v>
      </c>
      <c r="G6" s="6" t="s">
        <v>18</v>
      </c>
      <c r="H6" s="8" t="n">
        <v>2</v>
      </c>
      <c r="I6" s="9" t="n">
        <v>23931</v>
      </c>
      <c r="J6" s="5" t="n">
        <v>2</v>
      </c>
      <c r="K6" s="6" t="s">
        <v>19</v>
      </c>
      <c r="L6" s="6" t="s">
        <v>20</v>
      </c>
      <c r="M6" s="6" t="s">
        <v>47</v>
      </c>
    </row>
    <row r="7" customFormat="false" ht="18.75" hidden="false" customHeight="true" outlineLevel="0" collapsed="false">
      <c r="A7" s="8" t="n">
        <v>6</v>
      </c>
      <c r="B7" s="6" t="s">
        <v>48</v>
      </c>
      <c r="C7" s="6" t="s">
        <v>49</v>
      </c>
      <c r="D7" s="6" t="s">
        <v>50</v>
      </c>
      <c r="E7" s="6" t="s">
        <v>51</v>
      </c>
      <c r="F7" s="6" t="s">
        <v>17</v>
      </c>
      <c r="G7" s="6" t="s">
        <v>26</v>
      </c>
      <c r="H7" s="8" t="n">
        <v>2</v>
      </c>
      <c r="I7" s="9" t="n">
        <v>23936</v>
      </c>
      <c r="J7" s="5" t="n">
        <v>2</v>
      </c>
      <c r="K7" s="6" t="s">
        <v>27</v>
      </c>
      <c r="L7" s="6" t="s">
        <v>52</v>
      </c>
      <c r="M7" s="6" t="s">
        <v>53</v>
      </c>
    </row>
    <row r="8" customFormat="false" ht="18.75" hidden="false" customHeight="true" outlineLevel="0" collapsed="false">
      <c r="A8" s="8" t="n">
        <v>7</v>
      </c>
      <c r="B8" s="6" t="s">
        <v>54</v>
      </c>
      <c r="C8" s="6" t="s">
        <v>55</v>
      </c>
      <c r="D8" s="6" t="s">
        <v>56</v>
      </c>
      <c r="E8" s="6" t="s">
        <v>57</v>
      </c>
      <c r="F8" s="6" t="s">
        <v>17</v>
      </c>
      <c r="G8" s="6" t="s">
        <v>18</v>
      </c>
      <c r="H8" s="8" t="n">
        <v>4</v>
      </c>
      <c r="I8" s="9" t="n">
        <v>21933</v>
      </c>
      <c r="J8" s="5" t="n">
        <v>1</v>
      </c>
      <c r="K8" s="6" t="s">
        <v>19</v>
      </c>
      <c r="L8" s="6" t="s">
        <v>58</v>
      </c>
      <c r="M8" s="6" t="s">
        <v>59</v>
      </c>
    </row>
    <row r="9" customFormat="false" ht="18.75" hidden="false" customHeight="true" outlineLevel="0" collapsed="false">
      <c r="A9" s="8" t="n">
        <v>8</v>
      </c>
      <c r="B9" s="6" t="s">
        <v>60</v>
      </c>
      <c r="C9" s="6" t="s">
        <v>61</v>
      </c>
      <c r="D9" s="6" t="s">
        <v>62</v>
      </c>
      <c r="E9" s="6" t="s">
        <v>63</v>
      </c>
      <c r="F9" s="6" t="s">
        <v>17</v>
      </c>
      <c r="G9" s="6" t="s">
        <v>26</v>
      </c>
      <c r="H9" s="8" t="n">
        <v>1</v>
      </c>
      <c r="I9" s="9" t="n">
        <v>24937</v>
      </c>
      <c r="J9" s="5" t="n">
        <v>3</v>
      </c>
      <c r="K9" s="6" t="s">
        <v>27</v>
      </c>
      <c r="L9" s="6" t="s">
        <v>28</v>
      </c>
      <c r="M9" s="6" t="s">
        <v>64</v>
      </c>
    </row>
    <row r="10" customFormat="false" ht="18.75" hidden="false" customHeight="true" outlineLevel="0" collapsed="false">
      <c r="A10" s="8" t="n">
        <v>9</v>
      </c>
      <c r="B10" s="6" t="s">
        <v>65</v>
      </c>
      <c r="C10" s="6" t="s">
        <v>66</v>
      </c>
      <c r="D10" s="6" t="s">
        <v>67</v>
      </c>
      <c r="E10" s="6" t="s">
        <v>68</v>
      </c>
      <c r="F10" s="6" t="s">
        <v>17</v>
      </c>
      <c r="G10" s="6" t="s">
        <v>18</v>
      </c>
      <c r="H10" s="8" t="n">
        <v>3</v>
      </c>
      <c r="I10" s="9" t="n">
        <v>22934</v>
      </c>
      <c r="J10" s="5" t="n">
        <v>5</v>
      </c>
      <c r="K10" s="6" t="s">
        <v>19</v>
      </c>
      <c r="L10" s="6" t="s">
        <v>69</v>
      </c>
      <c r="M10" s="6" t="s">
        <v>70</v>
      </c>
    </row>
    <row r="11" customFormat="false" ht="18.75" hidden="false" customHeight="true" outlineLevel="0" collapsed="false">
      <c r="A11" s="8" t="n">
        <v>10</v>
      </c>
      <c r="B11" s="6" t="s">
        <v>71</v>
      </c>
      <c r="C11" s="6" t="s">
        <v>72</v>
      </c>
      <c r="D11" s="6" t="s">
        <v>73</v>
      </c>
      <c r="E11" s="6" t="s">
        <v>74</v>
      </c>
      <c r="F11" s="6" t="s">
        <v>17</v>
      </c>
      <c r="G11" s="6" t="s">
        <v>26</v>
      </c>
      <c r="H11" s="8" t="n">
        <v>2</v>
      </c>
      <c r="I11" s="9" t="n">
        <v>23938</v>
      </c>
      <c r="J11" s="5" t="n">
        <v>6</v>
      </c>
      <c r="K11" s="6" t="s">
        <v>27</v>
      </c>
      <c r="L11" s="6" t="s">
        <v>20</v>
      </c>
      <c r="M11" s="6" t="s">
        <v>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.58"/>
    <col collapsed="false" customWidth="true" hidden="false" outlineLevel="0" max="2" min="2" style="2" width="26.01"/>
    <col collapsed="false" customWidth="true" hidden="false" outlineLevel="0" max="5" min="3" style="2" width="13.58"/>
    <col collapsed="false" customWidth="true" hidden="false" outlineLevel="0" max="6" min="6" style="10" width="13.58"/>
  </cols>
  <sheetData>
    <row r="1" customFormat="false" ht="18.75" hidden="false" customHeight="true" outlineLevel="0" collapsed="false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12</v>
      </c>
    </row>
    <row r="2" customFormat="false" ht="18.75" hidden="false" customHeight="true" outlineLevel="0" collapsed="false">
      <c r="A2" s="8" t="n">
        <v>1</v>
      </c>
      <c r="B2" s="6" t="s">
        <v>76</v>
      </c>
      <c r="C2" s="6" t="str">
        <f aca="false">LEFT(B2,FIND(" ",B2) - 1)</f>
        <v>Сидоров</v>
      </c>
      <c r="D2" s="6" t="str">
        <f aca="false">MID(B2,FIND(" ",B2) + 1,FIND(CHAR(160),SUBSTITUTE(B2," ",CHAR(160),2)) - 1 - (FIND(" ",B2)))</f>
        <v>Сидор</v>
      </c>
      <c r="E2" s="6" t="str">
        <f aca="false">RIGHT(B2,LEN(B2) - (FIND(CHAR(160),SUBSTITUTE(B2," ",CHAR(160),2))))</f>
        <v>Сидорович</v>
      </c>
    </row>
    <row r="3" customFormat="false" ht="18.75" hidden="false" customHeight="true" outlineLevel="0" collapsed="false">
      <c r="A3" s="8" t="n">
        <v>2</v>
      </c>
      <c r="B3" s="6" t="s">
        <v>77</v>
      </c>
      <c r="C3" s="6" t="str">
        <f aca="false">LEFT(B3,FIND(" ",B3) - 1)</f>
        <v>Кузнецов</v>
      </c>
      <c r="D3" s="6" t="str">
        <f aca="false">MID(B3,FIND(" ",B3) + 1,FIND(CHAR(160),SUBSTITUTE(B3," ",CHAR(160),2)) - 1 - (FIND(" ",B3)))</f>
        <v>Алексей</v>
      </c>
      <c r="E3" s="6" t="str">
        <f aca="false">RIGHT(B3,LEN(B3) - (FIND(CHAR(160),SUBSTITUTE(B3," ",CHAR(160),2))))</f>
        <v>Иванович</v>
      </c>
    </row>
    <row r="4" customFormat="false" ht="18.75" hidden="false" customHeight="true" outlineLevel="0" collapsed="false">
      <c r="A4" s="8" t="n">
        <v>3</v>
      </c>
      <c r="B4" s="6" t="s">
        <v>78</v>
      </c>
      <c r="C4" s="6" t="str">
        <f aca="false">LEFT(B4,FIND(" ",B4) - 1)</f>
        <v>Попова</v>
      </c>
      <c r="D4" s="6" t="str">
        <f aca="false">MID(B4,FIND(" ",B4) + 1,FIND(CHAR(160),SUBSTITUTE(B4," ",CHAR(160),2)) - 1 - (FIND(" ",B4)))</f>
        <v>Елена</v>
      </c>
      <c r="E4" s="6" t="str">
        <f aca="false">RIGHT(B4,LEN(B4) - (FIND(CHAR(160),SUBSTITUTE(B4," ",CHAR(160),2))))</f>
        <v>Викторовна</v>
      </c>
    </row>
    <row r="5" customFormat="false" ht="18.75" hidden="false" customHeight="true" outlineLevel="0" collapsed="false">
      <c r="A5" s="8" t="n">
        <v>4</v>
      </c>
      <c r="B5" s="6" t="s">
        <v>79</v>
      </c>
      <c r="C5" s="6" t="str">
        <f aca="false">LEFT(B5,FIND(" ",B5) - 1)</f>
        <v>Новиков</v>
      </c>
      <c r="D5" s="6" t="str">
        <f aca="false">MID(B5,FIND(" ",B5) + 1,FIND(CHAR(160),SUBSTITUTE(B5," ",CHAR(160),2)) - 1 - (FIND(" ",B5)))</f>
        <v>Дмитрий</v>
      </c>
      <c r="E5" s="6" t="str">
        <f aca="false">RIGHT(B5,LEN(B5) - (FIND(CHAR(160),SUBSTITUTE(B5," ",CHAR(160),2))))</f>
        <v>Сергеевич</v>
      </c>
    </row>
    <row r="6" customFormat="false" ht="18.75" hidden="false" customHeight="true" outlineLevel="0" collapsed="false">
      <c r="A6" s="8" t="n">
        <v>5</v>
      </c>
      <c r="B6" s="6" t="s">
        <v>80</v>
      </c>
      <c r="C6" s="6" t="str">
        <f aca="false">LEFT(B6,FIND(" ",B6) - 1)</f>
        <v>Морозова</v>
      </c>
      <c r="D6" s="6" t="str">
        <f aca="false">MID(B6,FIND(" ",B6) + 1,FIND(CHAR(160),SUBSTITUTE(B6," ",CHAR(160),2)) - 1 - (FIND(" ",B6)))</f>
        <v>Анна</v>
      </c>
      <c r="E6" s="6" t="str">
        <f aca="false">RIGHT(B6,LEN(B6) - (FIND(CHAR(160),SUBSTITUTE(B6," ",CHAR(160),2))))</f>
        <v>Петровна</v>
      </c>
    </row>
    <row r="7" customFormat="false" ht="18.75" hidden="false" customHeight="true" outlineLevel="0" collapsed="false">
      <c r="A7" s="8" t="n">
        <v>6</v>
      </c>
      <c r="B7" s="6" t="s">
        <v>81</v>
      </c>
      <c r="C7" s="6" t="str">
        <f aca="false">LEFT(B7,FIND(" ",B7) - 1)</f>
        <v>Волков</v>
      </c>
      <c r="D7" s="6" t="str">
        <f aca="false">MID(B7,FIND(" ",B7) + 1,FIND(CHAR(160),SUBSTITUTE(B7," ",CHAR(160),2)) - 1 - (FIND(" ",B7)))</f>
        <v>Артем</v>
      </c>
      <c r="E7" s="6" t="str">
        <f aca="false">RIGHT(B7,LEN(B7) - (FIND(CHAR(160),SUBSTITUTE(B7," ",CHAR(160),2))))</f>
        <v>Александрович</v>
      </c>
    </row>
    <row r="8" customFormat="false" ht="18.75" hidden="false" customHeight="true" outlineLevel="0" collapsed="false">
      <c r="A8" s="8" t="n">
        <v>7</v>
      </c>
      <c r="B8" s="6" t="s">
        <v>82</v>
      </c>
      <c r="C8" s="6" t="str">
        <f aca="false">LEFT(B8,FIND(" ",B8) - 1)</f>
        <v>Лебедев</v>
      </c>
      <c r="D8" s="6" t="str">
        <f aca="false">MID(B8,FIND(" ",B8) + 1,FIND(CHAR(160),SUBSTITUTE(B8," ",CHAR(160),2)) - 1 - (FIND(" ",B8)))</f>
        <v>Максим</v>
      </c>
      <c r="E8" s="6" t="str">
        <f aca="false">RIGHT(B8,LEN(B8) - (FIND(CHAR(160),SUBSTITUTE(B8," ",CHAR(160),2))))</f>
        <v>Викторович</v>
      </c>
    </row>
    <row r="9" customFormat="false" ht="18.75" hidden="false" customHeight="true" outlineLevel="0" collapsed="false">
      <c r="A9" s="8" t="n">
        <v>8</v>
      </c>
      <c r="B9" s="6" t="s">
        <v>83</v>
      </c>
      <c r="C9" s="6" t="str">
        <f aca="false">LEFT(B9,FIND(" ",B9) - 1)</f>
        <v>Степанов</v>
      </c>
      <c r="D9" s="6" t="str">
        <f aca="false">MID(B9,FIND(" ",B9) + 1,FIND(CHAR(160),SUBSTITUTE(B9," ",CHAR(160),2)) - 1 - (FIND(" ",B9)))</f>
        <v>Илья</v>
      </c>
      <c r="E9" s="6" t="str">
        <f aca="false">RIGHT(B9,LEN(B9) - (FIND(CHAR(160),SUBSTITUTE(B9," ",CHAR(160),2))))</f>
        <v>Дмитриевич</v>
      </c>
    </row>
    <row r="10" customFormat="false" ht="18.75" hidden="false" customHeight="true" outlineLevel="0" collapsed="false">
      <c r="A10" s="8" t="n">
        <v>9</v>
      </c>
      <c r="B10" s="6" t="s">
        <v>84</v>
      </c>
      <c r="C10" s="6" t="str">
        <f aca="false">LEFT(B10,FIND(" ",B10) - 1)</f>
        <v>Николаева</v>
      </c>
      <c r="D10" s="6" t="str">
        <f aca="false">MID(B10,FIND(" ",B10) + 1,FIND(CHAR(160),SUBSTITUTE(B10," ",CHAR(160),2)) - 1 - (FIND(" ",B10)))</f>
        <v>Светлана</v>
      </c>
      <c r="E10" s="6" t="str">
        <f aca="false">RIGHT(B10,LEN(B10) - (FIND(CHAR(160),SUBSTITUTE(B10," ",CHAR(160),2))))</f>
        <v>Юрьевна</v>
      </c>
    </row>
    <row r="11" customFormat="false" ht="18.75" hidden="false" customHeight="true" outlineLevel="0" collapsed="false">
      <c r="A11" s="8" t="n">
        <v>10</v>
      </c>
      <c r="B11" s="6" t="s">
        <v>85</v>
      </c>
      <c r="C11" s="6" t="str">
        <f aca="false">LEFT(B11,FIND(" ",B11) - 1)</f>
        <v>Андреев</v>
      </c>
      <c r="D11" s="6" t="str">
        <f aca="false">MID(B11,FIND(" ",B11) + 1,FIND(CHAR(160),SUBSTITUTE(B11," ",CHAR(160),2)) - 1 - (FIND(" ",B11)))</f>
        <v>Константин</v>
      </c>
      <c r="E11" s="6" t="str">
        <f aca="false">RIGHT(B11,LEN(B11) - (FIND(CHAR(160),SUBSTITUTE(B11," ",CHAR(160),2))))</f>
        <v>Олегович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65.78"/>
    <col collapsed="false" customWidth="true" hidden="false" outlineLevel="0" max="3" min="3" style="0" width="51.46"/>
    <col collapsed="false" customWidth="true" hidden="false" outlineLevel="0" max="4" min="4" style="0" width="50.49"/>
  </cols>
  <sheetData>
    <row r="1" customFormat="false" ht="13.8" hidden="false" customHeight="false" outlineLevel="0" collapsed="false">
      <c r="A1" s="11" t="s">
        <v>0</v>
      </c>
      <c r="B1" s="0" t="s">
        <v>86</v>
      </c>
      <c r="C1" s="11" t="s">
        <v>6</v>
      </c>
      <c r="D1" s="11" t="s">
        <v>87</v>
      </c>
      <c r="E1" s="6" t="s">
        <v>11</v>
      </c>
      <c r="F1" s="0" t="s">
        <v>88</v>
      </c>
    </row>
    <row r="2" customFormat="false" ht="13.8" hidden="false" customHeight="false" outlineLevel="0" collapsed="false">
      <c r="A2" s="11" t="n">
        <v>1</v>
      </c>
      <c r="B2" s="0" t="s">
        <v>89</v>
      </c>
      <c r="C2" s="0" t="s">
        <v>18</v>
      </c>
      <c r="D2" s="6" t="s">
        <v>19</v>
      </c>
      <c r="E2" s="6" t="s">
        <v>20</v>
      </c>
      <c r="F2" s="0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Roman,Обычный"&amp;12&amp;Kffffff&amp;A</oddHeader>
    <oddFooter>&amp;C&amp;"Times New Roman,Обычный"&amp;12&amp;KffffffСтраница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LibreOffice/7.6.4.1$Windows_X86_64 LibreOffice_project/e19e193f88cd6c0525a17fb7a176ed8e6a3e2aa1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2026-07-09T12:19:35Z</dcterms:created>
  <dc:creator/>
  <dc:description/>
  <dc:language>ru-RU</dc:language>
  <cp:lastModifiedBy/>
  <dcterms:modified xsi:type="dcterms:W3CDTF">2026-07-09T20:16:42Z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