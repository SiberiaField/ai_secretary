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Лист1"/>
    <sheet r:id="rId2" sheetId="2" name="Лист2"/>
    <sheet r:id="rId3" sheetId="3" name="Лист3"/>
  </sheets>
  <calcPr fullCalcOnLoad="1"/>
</workbook>
</file>

<file path=xl/sharedStrings.xml><?xml version="1.0" encoding="utf-8"?>
<sst xmlns="http://schemas.openxmlformats.org/spreadsheetml/2006/main" count="139" uniqueCount="100">
  <si>
    <t>id</t>
  </si>
  <si>
    <t>Имя документа</t>
  </si>
  <si>
    <t>Степень</t>
  </si>
  <si>
    <t>Напрвление подготовки</t>
  </si>
  <si>
    <t>Профиль</t>
  </si>
  <si>
    <t>Семестр</t>
  </si>
  <si>
    <t>Прил 1_ИЗ на практику_Бакалавриат_ПИиКН_5 семестр.docx</t>
  </si>
  <si>
    <t>Бакалавриат</t>
  </si>
  <si>
    <t>09.03.01 Информатика и вычислительная техника</t>
  </si>
  <si>
    <t>Программная инженерия и компьютерные науки</t>
  </si>
  <si>
    <t>ФИО</t>
  </si>
  <si>
    <t>Фамилия</t>
  </si>
  <si>
    <t>Имя</t>
  </si>
  <si>
    <t>Отчество</t>
  </si>
  <si>
    <t>Почта</t>
  </si>
  <si>
    <t>Сидоров Сидор Сидорович</t>
  </si>
  <si>
    <t>sidor.sidorov@example.com</t>
  </si>
  <si>
    <t>Кузнецов Алексей Иванович</t>
  </si>
  <si>
    <t>alexey.kuznetsov@example.com</t>
  </si>
  <si>
    <t>Попова Елена Викторовна</t>
  </si>
  <si>
    <t>elena.popova@example.com</t>
  </si>
  <si>
    <t>Новиков Дмитрий Сергеевич</t>
  </si>
  <si>
    <t>dmitry.novikov@example.com</t>
  </si>
  <si>
    <t>Морозова Анна Петровна</t>
  </si>
  <si>
    <t>anna.morozova@example.com</t>
  </si>
  <si>
    <t>Волков Артем Александрович</t>
  </si>
  <si>
    <t>artem.volkov@example.com</t>
  </si>
  <si>
    <t>Лебедев Максим Викторович</t>
  </si>
  <si>
    <t>maxim.lebedev@example.com</t>
  </si>
  <si>
    <t>Степанов Илья Дмитриевич</t>
  </si>
  <si>
    <t>ilya.stepanov@example.com</t>
  </si>
  <si>
    <t>Николаева Светлана Юрьевна</t>
  </si>
  <si>
    <t>svetlana.nikolaeva@example.com</t>
  </si>
  <si>
    <t>Андреев Константин Олегович</t>
  </si>
  <si>
    <t>konstantin.andreev@example.com</t>
  </si>
  <si>
    <t>Факультет</t>
  </si>
  <si>
    <t>Курс</t>
  </si>
  <si>
    <t>Группа</t>
  </si>
  <si>
    <t>Руководитель практики</t>
  </si>
  <si>
    <t>Направление подготовки</t>
  </si>
  <si>
    <t>Петров Петр Петрович</t>
  </si>
  <si>
    <t>Петров</t>
  </si>
  <si>
    <t>Петр</t>
  </si>
  <si>
    <t>Петрович</t>
  </si>
  <si>
    <t>ФИТ</t>
  </si>
  <si>
    <t>p.petrov@fit.univ.edu</t>
  </si>
  <si>
    <t>Иванова Мария Сергеевна</t>
  </si>
  <si>
    <t>Иванова</t>
  </si>
  <si>
    <t>Мария</t>
  </si>
  <si>
    <t>Сергеевна</t>
  </si>
  <si>
    <t>Магистратура</t>
  </si>
  <si>
    <t>09.04.01 Информатика и вычислительная техника</t>
  </si>
  <si>
    <t>Искусственный интеллект и машинное обучение</t>
  </si>
  <si>
    <t>m.ivanova@fit.univ.edu</t>
  </si>
  <si>
    <t>Смирнов Алексей Дмитриевич</t>
  </si>
  <si>
    <t>Смирнов</t>
  </si>
  <si>
    <t>Алексей</t>
  </si>
  <si>
    <t>Дмитриевич</t>
  </si>
  <si>
    <t>Веб-технологии и распределенные системы</t>
  </si>
  <si>
    <t>a.smirnov@fit.univ.edu</t>
  </si>
  <si>
    <t>Васильева Ольга Андреевна</t>
  </si>
  <si>
    <t>Васильева</t>
  </si>
  <si>
    <t>Ольга</t>
  </si>
  <si>
    <t>Андреевна</t>
  </si>
  <si>
    <t>09.04.02 Информатика и вычислительная техника</t>
  </si>
  <si>
    <t>Кибербезопасность и защита информации</t>
  </si>
  <si>
    <t>o.vasileva@fit.univ.edu</t>
  </si>
  <si>
    <t>Федоров Никита Игоревич</t>
  </si>
  <si>
    <t>Федоров</t>
  </si>
  <si>
    <t>Никита</t>
  </si>
  <si>
    <t>Игоревич</t>
  </si>
  <si>
    <t>n.fedorov@fit.univ.edu</t>
  </si>
  <si>
    <t>Михайлова Екатерина Олеговна</t>
  </si>
  <si>
    <t>Михайлова</t>
  </si>
  <si>
    <t>Екатерина</t>
  </si>
  <si>
    <t>Олеговна</t>
  </si>
  <si>
    <t>Анализ данных и большие данные</t>
  </si>
  <si>
    <t>e.mihaylova@fit.univ.edu</t>
  </si>
  <si>
    <t>Соколов Денис Романович</t>
  </si>
  <si>
    <t>Соколов</t>
  </si>
  <si>
    <t>Денис</t>
  </si>
  <si>
    <t>Романович</t>
  </si>
  <si>
    <t>Мобильная разработка</t>
  </si>
  <si>
    <t>d.sokolov@fit.univ.edu</t>
  </si>
  <si>
    <t>Козлова Дарья Николаевна</t>
  </si>
  <si>
    <t>Козлова</t>
  </si>
  <si>
    <t>Дарья</t>
  </si>
  <si>
    <t>Николаевна</t>
  </si>
  <si>
    <t>d.kozlova@fit.univ.edu</t>
  </si>
  <si>
    <t>Павлов Артем Валерьевич</t>
  </si>
  <si>
    <t>Павлов</t>
  </si>
  <si>
    <t>Артем</t>
  </si>
  <si>
    <t>Валерьевич</t>
  </si>
  <si>
    <t>Сетевые технологии</t>
  </si>
  <si>
    <t>a.pavlov@fit.univ.edu</t>
  </si>
  <si>
    <t>Орлова Виктория Максимовна</t>
  </si>
  <si>
    <t>Орлова</t>
  </si>
  <si>
    <t>Виктория</t>
  </si>
  <si>
    <t>Максимовна</t>
  </si>
  <si>
    <t>v.orlova@fit.univ.edu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</si>
</sst>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1" applyNumberFormat="1" borderId="1" applyBorder="1" fontId="1" applyFont="1" fillId="0" applyAlignment="1">
      <alignment horizontal="left"/>
    </xf>
    <xf xfId="0" numFmtId="1" applyNumberFormat="1" borderId="1" applyBorder="1" fontId="1" applyFont="1" fillId="0" applyAlignment="1">
      <alignment horizontal="right"/>
    </xf>
    <xf xfId="0" numFmtId="1" applyNumberFormat="1" borderId="0" fontId="0" fillId="0" applyAlignment="1">
      <alignment horizontal="right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1"/>
  <sheetViews>
    <sheetView workbookViewId="0"/>
  </sheetViews>
  <sheetFormatPr defaultRowHeight="15" x14ac:dyDescent="0.25"/>
  <cols>
    <col min="1" max="1" style="7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7" width="13.576428571428572" customWidth="1" bestFit="1"/>
    <col min="9" max="9" style="14" width="13.576428571428572" customWidth="1" bestFit="1"/>
    <col min="10" max="10" style="15" width="30.433571428571426" customWidth="1" bestFit="1"/>
    <col min="11" max="11" style="9" width="46.71928571428572" customWidth="1" bestFit="1"/>
    <col min="12" max="12" style="9" width="41.86214285714286" customWidth="1" bestFit="1"/>
    <col min="13" max="13" style="9" width="13.576428571428572" customWidth="1" bestFit="1"/>
  </cols>
  <sheetData>
    <row x14ac:dyDescent="0.25" r="1" customHeight="1" ht="18.75">
      <c r="A1" s="1" t="s">
        <v>0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35</v>
      </c>
      <c r="G1" s="3" t="s">
        <v>2</v>
      </c>
      <c r="H1" s="1" t="s">
        <v>36</v>
      </c>
      <c r="I1" s="12" t="s">
        <v>37</v>
      </c>
      <c r="J1" s="1" t="s">
        <v>38</v>
      </c>
      <c r="K1" s="3" t="s">
        <v>39</v>
      </c>
      <c r="L1" s="3" t="s">
        <v>4</v>
      </c>
      <c r="M1" s="3" t="s">
        <v>14</v>
      </c>
    </row>
    <row x14ac:dyDescent="0.25" r="2" customHeight="1" ht="18.75">
      <c r="A2" s="5">
        <v>1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7</v>
      </c>
      <c r="H2" s="5">
        <v>1</v>
      </c>
      <c r="I2" s="13">
        <v>24931</v>
      </c>
      <c r="J2" s="1">
        <v>1</v>
      </c>
      <c r="K2" s="3" t="s">
        <v>8</v>
      </c>
      <c r="L2" s="3" t="s">
        <v>9</v>
      </c>
      <c r="M2" s="3" t="s">
        <v>45</v>
      </c>
    </row>
    <row x14ac:dyDescent="0.25" r="3" customHeight="1" ht="18.75">
      <c r="A3" s="5">
        <v>2</v>
      </c>
      <c r="B3" s="3" t="s">
        <v>46</v>
      </c>
      <c r="C3" s="3" t="s">
        <v>47</v>
      </c>
      <c r="D3" s="3" t="s">
        <v>48</v>
      </c>
      <c r="E3" s="3" t="s">
        <v>49</v>
      </c>
      <c r="F3" s="3" t="s">
        <v>44</v>
      </c>
      <c r="G3" s="3" t="s">
        <v>50</v>
      </c>
      <c r="H3" s="5">
        <v>2</v>
      </c>
      <c r="I3" s="13">
        <v>23934</v>
      </c>
      <c r="J3" s="1">
        <v>1</v>
      </c>
      <c r="K3" s="3" t="s">
        <v>51</v>
      </c>
      <c r="L3" s="3" t="s">
        <v>52</v>
      </c>
      <c r="M3" s="3" t="s">
        <v>53</v>
      </c>
    </row>
    <row x14ac:dyDescent="0.25" r="4" customHeight="1" ht="18.75">
      <c r="A4" s="5">
        <v>3</v>
      </c>
      <c r="B4" s="3" t="s">
        <v>54</v>
      </c>
      <c r="C4" s="3" t="s">
        <v>55</v>
      </c>
      <c r="D4" s="3" t="s">
        <v>56</v>
      </c>
      <c r="E4" s="3" t="s">
        <v>57</v>
      </c>
      <c r="F4" s="3" t="s">
        <v>44</v>
      </c>
      <c r="G4" s="3" t="s">
        <v>7</v>
      </c>
      <c r="H4" s="5">
        <v>3</v>
      </c>
      <c r="I4" s="13">
        <v>22932</v>
      </c>
      <c r="J4" s="1">
        <v>3</v>
      </c>
      <c r="K4" s="3" t="s">
        <v>8</v>
      </c>
      <c r="L4" s="3" t="s">
        <v>58</v>
      </c>
      <c r="M4" s="3" t="s">
        <v>59</v>
      </c>
    </row>
    <row x14ac:dyDescent="0.25" r="5" customHeight="1" ht="18.75">
      <c r="A5" s="5">
        <v>4</v>
      </c>
      <c r="B5" s="3" t="s">
        <v>60</v>
      </c>
      <c r="C5" s="3" t="s">
        <v>61</v>
      </c>
      <c r="D5" s="3" t="s">
        <v>62</v>
      </c>
      <c r="E5" s="3" t="s">
        <v>63</v>
      </c>
      <c r="F5" s="3" t="s">
        <v>44</v>
      </c>
      <c r="G5" s="3" t="s">
        <v>50</v>
      </c>
      <c r="H5" s="5">
        <v>1</v>
      </c>
      <c r="I5" s="13">
        <v>24935</v>
      </c>
      <c r="J5" s="1">
        <v>4</v>
      </c>
      <c r="K5" s="3" t="s">
        <v>64</v>
      </c>
      <c r="L5" s="3" t="s">
        <v>65</v>
      </c>
      <c r="M5" s="3" t="s">
        <v>66</v>
      </c>
    </row>
    <row x14ac:dyDescent="0.25" r="6" customHeight="1" ht="18.75">
      <c r="A6" s="5">
        <v>5</v>
      </c>
      <c r="B6" s="3" t="s">
        <v>67</v>
      </c>
      <c r="C6" s="3" t="s">
        <v>68</v>
      </c>
      <c r="D6" s="3" t="s">
        <v>69</v>
      </c>
      <c r="E6" s="3" t="s">
        <v>70</v>
      </c>
      <c r="F6" s="3" t="s">
        <v>44</v>
      </c>
      <c r="G6" s="3" t="s">
        <v>7</v>
      </c>
      <c r="H6" s="5">
        <v>2</v>
      </c>
      <c r="I6" s="13">
        <v>23931</v>
      </c>
      <c r="J6" s="1">
        <v>2</v>
      </c>
      <c r="K6" s="3" t="s">
        <v>8</v>
      </c>
      <c r="L6" s="3" t="s">
        <v>9</v>
      </c>
      <c r="M6" s="3" t="s">
        <v>71</v>
      </c>
    </row>
    <row x14ac:dyDescent="0.25" r="7" customHeight="1" ht="18.75">
      <c r="A7" s="5">
        <v>6</v>
      </c>
      <c r="B7" s="3" t="s">
        <v>72</v>
      </c>
      <c r="C7" s="3" t="s">
        <v>73</v>
      </c>
      <c r="D7" s="3" t="s">
        <v>74</v>
      </c>
      <c r="E7" s="3" t="s">
        <v>75</v>
      </c>
      <c r="F7" s="3" t="s">
        <v>44</v>
      </c>
      <c r="G7" s="3" t="s">
        <v>50</v>
      </c>
      <c r="H7" s="5">
        <v>2</v>
      </c>
      <c r="I7" s="13">
        <v>23936</v>
      </c>
      <c r="J7" s="1">
        <v>2</v>
      </c>
      <c r="K7" s="3" t="s">
        <v>51</v>
      </c>
      <c r="L7" s="3" t="s">
        <v>76</v>
      </c>
      <c r="M7" s="3" t="s">
        <v>77</v>
      </c>
    </row>
    <row x14ac:dyDescent="0.25" r="8" customHeight="1" ht="18.75">
      <c r="A8" s="5">
        <v>7</v>
      </c>
      <c r="B8" s="3" t="s">
        <v>78</v>
      </c>
      <c r="C8" s="3" t="s">
        <v>79</v>
      </c>
      <c r="D8" s="3" t="s">
        <v>80</v>
      </c>
      <c r="E8" s="3" t="s">
        <v>81</v>
      </c>
      <c r="F8" s="3" t="s">
        <v>44</v>
      </c>
      <c r="G8" s="3" t="s">
        <v>7</v>
      </c>
      <c r="H8" s="5">
        <v>4</v>
      </c>
      <c r="I8" s="13">
        <v>21933</v>
      </c>
      <c r="J8" s="1">
        <v>1</v>
      </c>
      <c r="K8" s="3" t="s">
        <v>8</v>
      </c>
      <c r="L8" s="3" t="s">
        <v>82</v>
      </c>
      <c r="M8" s="3" t="s">
        <v>83</v>
      </c>
    </row>
    <row x14ac:dyDescent="0.25" r="9" customHeight="1" ht="18.75">
      <c r="A9" s="5">
        <v>8</v>
      </c>
      <c r="B9" s="3" t="s">
        <v>84</v>
      </c>
      <c r="C9" s="3" t="s">
        <v>85</v>
      </c>
      <c r="D9" s="3" t="s">
        <v>86</v>
      </c>
      <c r="E9" s="3" t="s">
        <v>87</v>
      </c>
      <c r="F9" s="3" t="s">
        <v>44</v>
      </c>
      <c r="G9" s="3" t="s">
        <v>50</v>
      </c>
      <c r="H9" s="5">
        <v>1</v>
      </c>
      <c r="I9" s="13">
        <v>24937</v>
      </c>
      <c r="J9" s="1">
        <v>3</v>
      </c>
      <c r="K9" s="3" t="s">
        <v>51</v>
      </c>
      <c r="L9" s="3" t="s">
        <v>52</v>
      </c>
      <c r="M9" s="3" t="s">
        <v>88</v>
      </c>
    </row>
    <row x14ac:dyDescent="0.25" r="10" customHeight="1" ht="18.75">
      <c r="A10" s="5">
        <v>9</v>
      </c>
      <c r="B10" s="3" t="s">
        <v>89</v>
      </c>
      <c r="C10" s="3" t="s">
        <v>90</v>
      </c>
      <c r="D10" s="3" t="s">
        <v>91</v>
      </c>
      <c r="E10" s="3" t="s">
        <v>92</v>
      </c>
      <c r="F10" s="3" t="s">
        <v>44</v>
      </c>
      <c r="G10" s="3" t="s">
        <v>7</v>
      </c>
      <c r="H10" s="5">
        <v>3</v>
      </c>
      <c r="I10" s="13">
        <v>22934</v>
      </c>
      <c r="J10" s="1">
        <v>5</v>
      </c>
      <c r="K10" s="3" t="s">
        <v>8</v>
      </c>
      <c r="L10" s="3" t="s">
        <v>93</v>
      </c>
      <c r="M10" s="3" t="s">
        <v>94</v>
      </c>
    </row>
    <row x14ac:dyDescent="0.25" r="11" customHeight="1" ht="18.75">
      <c r="A11" s="5">
        <v>10</v>
      </c>
      <c r="B11" s="3" t="s">
        <v>95</v>
      </c>
      <c r="C11" s="3" t="s">
        <v>96</v>
      </c>
      <c r="D11" s="3" t="s">
        <v>97</v>
      </c>
      <c r="E11" s="3" t="s">
        <v>98</v>
      </c>
      <c r="F11" s="3" t="s">
        <v>44</v>
      </c>
      <c r="G11" s="3" t="s">
        <v>50</v>
      </c>
      <c r="H11" s="5">
        <v>2</v>
      </c>
      <c r="I11" s="13">
        <v>23938</v>
      </c>
      <c r="J11" s="1">
        <v>6</v>
      </c>
      <c r="K11" s="3" t="s">
        <v>51</v>
      </c>
      <c r="L11" s="3" t="s">
        <v>9</v>
      </c>
      <c r="M11" s="3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9" width="26.005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8" width="25.576428571428572" customWidth="1" bestFit="1"/>
  </cols>
  <sheetData>
    <row x14ac:dyDescent="0.25" r="1" customHeight="1" ht="18.75">
      <c r="A1" s="1" t="s">
        <v>0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</row>
    <row x14ac:dyDescent="0.25" r="2" customHeight="1" ht="18.75">
      <c r="A2" s="5">
        <v>1</v>
      </c>
      <c r="B2" s="3" t="s">
        <v>15</v>
      </c>
      <c r="C2" s="10">
        <f>LEFT(B2,FIND(" ",B2) - 1)</f>
      </c>
      <c r="D2" s="10">
        <f>MID(B2,FIND(" ",B2) + 1,FIND(CHAR(160),SUBSTITUTE(B2," ",CHAR(160),2)) - 1 - (FIND(" ",B2)))</f>
      </c>
      <c r="E2" s="10">
        <f>RIGHT(B2,LEN(B2) - (FIND(CHAR(160),SUBSTITUTE(B2," ",CHAR(160),2))))</f>
      </c>
      <c r="F2" s="11" t="s">
        <v>16</v>
      </c>
    </row>
    <row x14ac:dyDescent="0.25" r="3" customHeight="1" ht="18.75">
      <c r="A3" s="5">
        <v>2</v>
      </c>
      <c r="B3" s="3" t="s">
        <v>17</v>
      </c>
      <c r="C3" s="10">
        <f>LEFT(B3,FIND(" ",B3) - 1)</f>
      </c>
      <c r="D3" s="10">
        <f>MID(B3,FIND(" ",B3) + 1,FIND(CHAR(160),SUBSTITUTE(B3," ",CHAR(160),2)) - 1 - (FIND(" ",B3)))</f>
      </c>
      <c r="E3" s="10">
        <f>RIGHT(B3,LEN(B3) - (FIND(CHAR(160),SUBSTITUTE(B3," ",CHAR(160),2))))</f>
      </c>
      <c r="F3" s="11" t="s">
        <v>18</v>
      </c>
    </row>
    <row x14ac:dyDescent="0.25" r="4" customHeight="1" ht="18.75">
      <c r="A4" s="5">
        <v>3</v>
      </c>
      <c r="B4" s="3" t="s">
        <v>19</v>
      </c>
      <c r="C4" s="10">
        <f>LEFT(B4,FIND(" ",B4) - 1)</f>
      </c>
      <c r="D4" s="10">
        <f>MID(B4,FIND(" ",B4) + 1,FIND(CHAR(160),SUBSTITUTE(B4," ",CHAR(160),2)) - 1 - (FIND(" ",B4)))</f>
      </c>
      <c r="E4" s="10">
        <f>RIGHT(B4,LEN(B4) - (FIND(CHAR(160),SUBSTITUTE(B4," ",CHAR(160),2))))</f>
      </c>
      <c r="F4" s="11" t="s">
        <v>20</v>
      </c>
    </row>
    <row x14ac:dyDescent="0.25" r="5" customHeight="1" ht="18.75">
      <c r="A5" s="5">
        <v>4</v>
      </c>
      <c r="B5" s="3" t="s">
        <v>21</v>
      </c>
      <c r="C5" s="10">
        <f>LEFT(B5,FIND(" ",B5) - 1)</f>
      </c>
      <c r="D5" s="10">
        <f>MID(B5,FIND(" ",B5) + 1,FIND(CHAR(160),SUBSTITUTE(B5," ",CHAR(160),2)) - 1 - (FIND(" ",B5)))</f>
      </c>
      <c r="E5" s="10">
        <f>RIGHT(B5,LEN(B5) - (FIND(CHAR(160),SUBSTITUTE(B5," ",CHAR(160),2))))</f>
      </c>
      <c r="F5" s="11" t="s">
        <v>22</v>
      </c>
    </row>
    <row x14ac:dyDescent="0.25" r="6" customHeight="1" ht="18.75">
      <c r="A6" s="5">
        <v>5</v>
      </c>
      <c r="B6" s="3" t="s">
        <v>23</v>
      </c>
      <c r="C6" s="10">
        <f>LEFT(B6,FIND(" ",B6) - 1)</f>
      </c>
      <c r="D6" s="10">
        <f>MID(B6,FIND(" ",B6) + 1,FIND(CHAR(160),SUBSTITUTE(B6," ",CHAR(160),2)) - 1 - (FIND(" ",B6)))</f>
      </c>
      <c r="E6" s="10">
        <f>RIGHT(B6,LEN(B6) - (FIND(CHAR(160),SUBSTITUTE(B6," ",CHAR(160),2))))</f>
      </c>
      <c r="F6" s="11" t="s">
        <v>24</v>
      </c>
    </row>
    <row x14ac:dyDescent="0.25" r="7" customHeight="1" ht="18.75">
      <c r="A7" s="5">
        <v>6</v>
      </c>
      <c r="B7" s="3" t="s">
        <v>25</v>
      </c>
      <c r="C7" s="10">
        <f>LEFT(B7,FIND(" ",B7) - 1)</f>
      </c>
      <c r="D7" s="10">
        <f>MID(B7,FIND(" ",B7) + 1,FIND(CHAR(160),SUBSTITUTE(B7," ",CHAR(160),2)) - 1 - (FIND(" ",B7)))</f>
      </c>
      <c r="E7" s="10">
        <f>RIGHT(B7,LEN(B7) - (FIND(CHAR(160),SUBSTITUTE(B7," ",CHAR(160),2))))</f>
      </c>
      <c r="F7" s="11" t="s">
        <v>26</v>
      </c>
    </row>
    <row x14ac:dyDescent="0.25" r="8" customHeight="1" ht="18.75">
      <c r="A8" s="5">
        <v>7</v>
      </c>
      <c r="B8" s="3" t="s">
        <v>27</v>
      </c>
      <c r="C8" s="10">
        <f>LEFT(B8,FIND(" ",B8) - 1)</f>
      </c>
      <c r="D8" s="10">
        <f>MID(B8,FIND(" ",B8) + 1,FIND(CHAR(160),SUBSTITUTE(B8," ",CHAR(160),2)) - 1 - (FIND(" ",B8)))</f>
      </c>
      <c r="E8" s="10">
        <f>RIGHT(B8,LEN(B8) - (FIND(CHAR(160),SUBSTITUTE(B8," ",CHAR(160),2))))</f>
      </c>
      <c r="F8" s="11" t="s">
        <v>28</v>
      </c>
    </row>
    <row x14ac:dyDescent="0.25" r="9" customHeight="1" ht="18.75">
      <c r="A9" s="5">
        <v>8</v>
      </c>
      <c r="B9" s="3" t="s">
        <v>29</v>
      </c>
      <c r="C9" s="10">
        <f>LEFT(B9,FIND(" ",B9) - 1)</f>
      </c>
      <c r="D9" s="10">
        <f>MID(B9,FIND(" ",B9) + 1,FIND(CHAR(160),SUBSTITUTE(B9," ",CHAR(160),2)) - 1 - (FIND(" ",B9)))</f>
      </c>
      <c r="E9" s="10">
        <f>RIGHT(B9,LEN(B9) - (FIND(CHAR(160),SUBSTITUTE(B9," ",CHAR(160),2))))</f>
      </c>
      <c r="F9" s="11" t="s">
        <v>30</v>
      </c>
    </row>
    <row x14ac:dyDescent="0.25" r="10" customHeight="1" ht="18.75">
      <c r="A10" s="5">
        <v>9</v>
      </c>
      <c r="B10" s="3" t="s">
        <v>31</v>
      </c>
      <c r="C10" s="10">
        <f>LEFT(B10,FIND(" ",B10) - 1)</f>
      </c>
      <c r="D10" s="10">
        <f>MID(B10,FIND(" ",B10) + 1,FIND(CHAR(160),SUBSTITUTE(B10," ",CHAR(160),2)) - 1 - (FIND(" ",B10)))</f>
      </c>
      <c r="E10" s="10">
        <f>RIGHT(B10,LEN(B10) - (FIND(CHAR(160),SUBSTITUTE(B10," ",CHAR(160),2))))</f>
      </c>
      <c r="F10" s="11" t="s">
        <v>32</v>
      </c>
    </row>
    <row x14ac:dyDescent="0.25" r="11" customHeight="1" ht="18.75">
      <c r="A11" s="5">
        <v>10</v>
      </c>
      <c r="B11" s="3" t="s">
        <v>33</v>
      </c>
      <c r="C11" s="10">
        <f>LEFT(B11,FIND(" ",B11) - 1)</f>
      </c>
      <c r="D11" s="10">
        <f>MID(B11,FIND(" ",B11) + 1,FIND(CHAR(160),SUBSTITUTE(B11," ",CHAR(160),2)) - 1 - (FIND(" ",B11)))</f>
      </c>
      <c r="E11" s="10">
        <f>RIGHT(B11,LEN(B11) - (FIND(CHAR(160),SUBSTITUTE(B11," ",CHAR(160),2))))</f>
      </c>
      <c r="F11" s="1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"/>
  <sheetViews>
    <sheetView workbookViewId="0"/>
  </sheetViews>
  <sheetFormatPr defaultRowHeight="15" x14ac:dyDescent="0.25"/>
  <cols>
    <col min="1" max="1" style="7" width="13.576428571428572" customWidth="1" bestFit="1"/>
    <col min="2" max="2" style="8" width="65.7192857142857" customWidth="1" bestFit="1"/>
    <col min="3" max="3" style="8" width="51.43357142857143" customWidth="1" bestFit="1"/>
    <col min="4" max="4" style="9" width="50.43357142857143" customWidth="1" bestFit="1"/>
    <col min="5" max="5" style="9" width="13.576428571428572" customWidth="1" bestFit="1"/>
    <col min="6" max="6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x14ac:dyDescent="0.25" r="2" customHeight="1" ht="18.75">
      <c r="A2" s="5">
        <v>1</v>
      </c>
      <c r="B2" s="2" t="s">
        <v>6</v>
      </c>
      <c r="C2" s="2" t="s">
        <v>7</v>
      </c>
      <c r="D2" s="3" t="s">
        <v>8</v>
      </c>
      <c r="E2" s="3" t="s">
        <v>9</v>
      </c>
      <c r="F2" s="6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Лист1</vt:lpstr>
      <vt:lpstr>Лист2</vt:lpstr>
      <vt:lpstr>Лист3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2026-07-09T19:05:41.637Z</dcterms:created>
  <dcterms:modified xsi:type="dcterms:W3CDTF">2026-07-09T19:05:41.637Z</dcterms:modified>
</cp:coreProperties>
</file>